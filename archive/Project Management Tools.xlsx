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0132506_student_ncirl_ie/Documents/HDSDA_SEP2/PROJECT/_PROJECT/"/>
    </mc:Choice>
  </mc:AlternateContent>
  <xr:revisionPtr revIDLastSave="674" documentId="8_{044A5F62-6276-4AB6-9E4B-D3301D170051}" xr6:coauthVersionLast="47" xr6:coauthVersionMax="47" xr10:uidLastSave="{DB24640C-6770-4E87-AE55-D8FB03D3BC6F}"/>
  <bookViews>
    <workbookView minimized="1" xWindow="2430" yWindow="1605" windowWidth="15375" windowHeight="7875" tabRatio="568" activeTab="3" xr2:uid="{B58842E2-394D-4F3C-96F6-EFBBA6C1A83E}"/>
  </bookViews>
  <sheets>
    <sheet name="SWOT" sheetId="5" r:id="rId1"/>
    <sheet name="InOut_Scope" sheetId="4" r:id="rId2"/>
    <sheet name="Risk_Priorities" sheetId="6" r:id="rId3"/>
    <sheet name="GrantChart_(Schedule)" sheetId="3" r:id="rId4"/>
    <sheet name="MoSCoW" sheetId="9" r:id="rId5"/>
    <sheet name="Sheet7" sheetId="7" state="hidden" r:id="rId6"/>
  </sheets>
  <definedNames>
    <definedName name="prevWBS" localSheetId="3">'GrantChart_(Schedule)'!$A1048576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l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l="1"/>
  <c r="A21" i="3" s="1"/>
  <c r="A22" i="3" l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l="1"/>
  <c r="A38" i="3" s="1"/>
  <c r="A39" i="3" s="1"/>
  <c r="A40" i="3" l="1"/>
  <c r="A41" i="3" s="1"/>
  <c r="A42" i="3" s="1"/>
  <c r="A43" i="3" s="1"/>
  <c r="A44" i="3" s="1"/>
  <c r="A45" i="3" s="1"/>
  <c r="A46" i="3" s="1"/>
  <c r="A4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Guilherme Arpi</author>
  </authors>
  <commentList>
    <comment ref="Q3" authorId="0" shapeId="0" xr:uid="{62D67068-9CB6-4F9A-B9AF-2FC9F4DDCD33}">
      <text>
        <r>
          <rPr>
            <b/>
            <sz val="9"/>
            <color indexed="81"/>
            <rFont val="Tahoma"/>
            <family val="2"/>
          </rPr>
          <t>Guilherme Arpi:</t>
        </r>
        <r>
          <rPr>
            <sz val="9"/>
            <color indexed="81"/>
            <rFont val="Tahoma"/>
            <family val="2"/>
          </rPr>
          <t xml:space="preserve">
Poject Proposal Deadline</t>
        </r>
      </text>
    </comment>
    <comment ref="AL3" authorId="0" shapeId="0" xr:uid="{6E31457F-EEE5-4DE1-936A-62C1365CE9D7}">
      <text>
        <r>
          <rPr>
            <b/>
            <sz val="9"/>
            <color indexed="81"/>
            <rFont val="Tahoma"/>
            <family val="2"/>
          </rPr>
          <t>Guilherme Arpi:</t>
        </r>
        <r>
          <rPr>
            <sz val="9"/>
            <color indexed="81"/>
            <rFont val="Tahoma"/>
            <family val="2"/>
          </rPr>
          <t xml:space="preserve">
Progress Report Deadline</t>
        </r>
      </text>
    </comment>
    <comment ref="BS3" authorId="0" shapeId="0" xr:uid="{D9EAF4AA-F0D5-4D9B-A3F3-71A5C5E9B8F1}">
      <text>
        <r>
          <rPr>
            <b/>
            <sz val="9"/>
            <color indexed="81"/>
            <rFont val="Tahoma"/>
            <family val="2"/>
          </rPr>
          <t>Guilherme Arpi:</t>
        </r>
        <r>
          <rPr>
            <sz val="9"/>
            <color indexed="81"/>
            <rFont val="Tahoma"/>
            <family val="2"/>
          </rPr>
          <t xml:space="preserve">
Project Report &amp; Presentation Slides Deadline</t>
        </r>
      </text>
    </comment>
  </commentList>
</comments>
</file>

<file path=xl/sharedStrings.xml><?xml version="1.0" encoding="utf-8"?>
<sst xmlns="http://schemas.openxmlformats.org/spreadsheetml/2006/main" count="244" uniqueCount="132">
  <si>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</si>
  <si>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</si>
  <si>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</si>
  <si>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</si>
  <si>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</si>
  <si>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</si>
  <si>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</si>
  <si>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</si>
  <si>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</si>
  <si>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</si>
  <si>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Activity</t>
  </si>
  <si>
    <t>Create Project Schedule</t>
  </si>
  <si>
    <t>Project Proposal Submission</t>
  </si>
  <si>
    <t>Mon</t>
  </si>
  <si>
    <t>Tue</t>
  </si>
  <si>
    <t>Wed</t>
  </si>
  <si>
    <t>Thu</t>
  </si>
  <si>
    <t>Fri</t>
  </si>
  <si>
    <t>Sat</t>
  </si>
  <si>
    <t>Sun</t>
  </si>
  <si>
    <t>Out of Scope</t>
  </si>
  <si>
    <t>Project Preparation</t>
  </si>
  <si>
    <t>Find Dataset</t>
  </si>
  <si>
    <t>Perform Project Management Tools</t>
  </si>
  <si>
    <t>Create Project Scope/Out of Scope</t>
  </si>
  <si>
    <t>Elaborate SWOT</t>
  </si>
  <si>
    <t>Search References I</t>
  </si>
  <si>
    <t>Elaborate Project Proposal</t>
  </si>
  <si>
    <t>Review PM tools + Proposal</t>
  </si>
  <si>
    <t>Milestone</t>
  </si>
  <si>
    <t>Project Conclusion</t>
  </si>
  <si>
    <t>Perform Data Cleaning</t>
  </si>
  <si>
    <t>Project Development I - Analysis</t>
  </si>
  <si>
    <t>Project Development II - Elaboration</t>
  </si>
  <si>
    <t>Preprare R scripts</t>
  </si>
  <si>
    <t>Import dataset to Rstudio</t>
  </si>
  <si>
    <t>Remove NAs and irrelevant info</t>
  </si>
  <si>
    <t>Perform Statisical Analysis</t>
  </si>
  <si>
    <t>Check for applicable statistical tests</t>
  </si>
  <si>
    <t>Perform Web Scrapping</t>
  </si>
  <si>
    <t>Import data from Twitter</t>
  </si>
  <si>
    <t>Create and rank the corpus</t>
  </si>
  <si>
    <t>Apply NPL - Sentimental Analysis</t>
  </si>
  <si>
    <t>Define Project Risks and Priorities</t>
  </si>
  <si>
    <t>Peform Data Visualization</t>
  </si>
  <si>
    <t>Define data to be represented</t>
  </si>
  <si>
    <t>Create MS Excel Charts</t>
  </si>
  <si>
    <t>Create Tableau Interactive Map Visualization</t>
  </si>
  <si>
    <t>Search References II</t>
  </si>
  <si>
    <t>Study the Material (anti-Plagiorism and Referencing)</t>
  </si>
  <si>
    <t>Write Section 1</t>
  </si>
  <si>
    <t>Write Section 2</t>
  </si>
  <si>
    <t>Write Section 3</t>
  </si>
  <si>
    <t>Elaborate Project Presentation</t>
  </si>
  <si>
    <t>Create a video for the presentation</t>
  </si>
  <si>
    <t>Analyse data from different countries</t>
  </si>
  <si>
    <t>Run a survey</t>
  </si>
  <si>
    <t>Elaborate Project Progress Report</t>
  </si>
  <si>
    <t>Submit Project Progress Report</t>
  </si>
  <si>
    <t>In Scope</t>
  </si>
  <si>
    <t>Risks</t>
  </si>
  <si>
    <t>Priorities</t>
  </si>
  <si>
    <t>Strengths</t>
  </si>
  <si>
    <t>Weaknesses</t>
  </si>
  <si>
    <t>Opportunities</t>
  </si>
  <si>
    <t>Threats</t>
  </si>
  <si>
    <t>Learned Problem solving techniques</t>
  </si>
  <si>
    <t>- Work Experience (LGBT Community Center Volunteer)</t>
  </si>
  <si>
    <t>- Data Analytics knowledge</t>
  </si>
  <si>
    <t>- Logical approach</t>
  </si>
  <si>
    <t>- Identify patterns that might help to explore solutions</t>
  </si>
  <si>
    <t>- Low experience in programming</t>
  </si>
  <si>
    <t>- No experience writing this type of report</t>
  </si>
  <si>
    <t>- Previous similar work</t>
  </si>
  <si>
    <t>- Large Dataset</t>
  </si>
  <si>
    <t>- Networking</t>
  </si>
  <si>
    <t>Clean the data</t>
  </si>
  <si>
    <t>Create Project Management tools</t>
  </si>
  <si>
    <t>Create Charts Data Visualization in Excel</t>
  </si>
  <si>
    <t>Search many different sources of referencing</t>
  </si>
  <si>
    <t>Days off</t>
  </si>
  <si>
    <t>Create slides presentation</t>
  </si>
  <si>
    <t>Develop Project Report</t>
  </si>
  <si>
    <t>Present the Project</t>
  </si>
  <si>
    <t>Many different analysis about the topic - Pleogiorism</t>
  </si>
  <si>
    <t>Not possible to perform enough statistical analysis with the data available</t>
  </si>
  <si>
    <t>Coding issues during analysis</t>
  </si>
  <si>
    <t>Difficulties while writing the report</t>
  </si>
  <si>
    <t>Clean the dataset</t>
  </si>
  <si>
    <t>Establish milestones for each stage of project</t>
  </si>
  <si>
    <t>Continuosly check if activities are not delayed</t>
  </si>
  <si>
    <t>Status</t>
  </si>
  <si>
    <t>Concluded</t>
  </si>
  <si>
    <t>In Progress</t>
  </si>
  <si>
    <t>Pending</t>
  </si>
  <si>
    <t>Column1</t>
  </si>
  <si>
    <t>Manage the risks</t>
  </si>
  <si>
    <t>Review Project Report + Presentation</t>
  </si>
  <si>
    <t>Prepare script for Presentation</t>
  </si>
  <si>
    <t>Submit Project Report + Presentation</t>
  </si>
  <si>
    <t>Not achiving the expected results</t>
  </si>
  <si>
    <t>Not have any plagiarism</t>
  </si>
  <si>
    <t>Use another software not used in class</t>
  </si>
  <si>
    <t>Perform Linear Regression</t>
  </si>
  <si>
    <t>Merge datasets (hate crime + population + gini)</t>
  </si>
  <si>
    <t>Forecaste the data by applying Exp. Smoothing</t>
  </si>
  <si>
    <t>Create a Clustering and apply KNN</t>
  </si>
  <si>
    <t>Webscrap data from Twitter</t>
  </si>
  <si>
    <t>Perform the analysis of results and findings</t>
  </si>
  <si>
    <t>- Results might not lead any meaningful conclusion</t>
  </si>
  <si>
    <t>- Interest in researching the choosen topic</t>
  </si>
  <si>
    <t>Create a Clustering and KNN</t>
  </si>
  <si>
    <t>Have assistance from another person but Enda</t>
  </si>
  <si>
    <t>Must</t>
  </si>
  <si>
    <t>Should</t>
  </si>
  <si>
    <t>Could</t>
  </si>
  <si>
    <t>Large Dataset Analysis</t>
  </si>
  <si>
    <t>Data cleaning</t>
  </si>
  <si>
    <t>Machine Learning Algorithms</t>
  </si>
  <si>
    <t>Sentimental Analyis</t>
  </si>
  <si>
    <t>Web scrapping from Twitter</t>
  </si>
  <si>
    <t>Query and Rank the corpus</t>
  </si>
  <si>
    <t>Progress Report</t>
  </si>
  <si>
    <t>SWOT</t>
  </si>
  <si>
    <t>Won't</t>
  </si>
  <si>
    <t>Schedule</t>
  </si>
  <si>
    <t>Risks and Priorities</t>
  </si>
  <si>
    <t>Interactive Maps</t>
  </si>
  <si>
    <t>Data Visualization charts</t>
  </si>
  <si>
    <t>Apply Decision Tree and Random Forest</t>
  </si>
  <si>
    <t>Perform other ML techniques</t>
  </si>
  <si>
    <t>Elaborate Project 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</si>
</sst>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7"/>
      <color theme="1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9C57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65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0" fontId="10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vertical="center"/>
    </xf>
    <xf numFmtId="0" fontId="0" fillId="10" borderId="2" xfId="0" applyFill="1" applyBorder="1"/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vertical="center" wrapText="1"/>
    </xf>
    <xf numFmtId="0" fontId="0" fillId="0" borderId="2" xfId="0" applyBorder="1"/>
    <xf numFmtId="0" fontId="11" fillId="0" borderId="2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9" borderId="3" xfId="0" applyFont="1" applyFill="1" applyBorder="1" applyAlignment="1">
      <alignment horizontal="center"/>
    </xf>
    <xf numFmtId="0" fontId="0" fillId="10" borderId="3" xfId="0" applyFill="1" applyBorder="1"/>
    <xf numFmtId="0" fontId="7" fillId="9" borderId="7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16" fontId="14" fillId="8" borderId="10" xfId="0" applyNumberFormat="1" applyFont="1" applyFill="1" applyBorder="1"/>
    <xf numFmtId="16" fontId="14" fillId="8" borderId="11" xfId="0" applyNumberFormat="1" applyFont="1" applyFill="1" applyBorder="1"/>
    <xf numFmtId="16" fontId="14" fillId="8" borderId="12" xfId="0" applyNumberFormat="1" applyFont="1" applyFill="1" applyBorder="1"/>
    <xf numFmtId="0" fontId="7" fillId="9" borderId="13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0" fillId="7" borderId="2" xfId="0" applyFill="1" applyBorder="1"/>
    <xf numFmtId="0" fontId="0" fillId="11" borderId="2" xfId="0" applyFill="1" applyBorder="1"/>
    <xf numFmtId="0" fontId="8" fillId="7" borderId="2" xfId="0" applyFont="1" applyFill="1" applyBorder="1"/>
    <xf numFmtId="0" fontId="8" fillId="11" borderId="2" xfId="0" applyFont="1" applyFill="1" applyBorder="1" applyAlignment="1">
      <alignment horizontal="center"/>
    </xf>
    <xf numFmtId="0" fontId="9" fillId="10" borderId="2" xfId="0" applyFont="1" applyFill="1" applyBorder="1"/>
    <xf numFmtId="0" fontId="7" fillId="6" borderId="0" xfId="0" applyFont="1" applyFill="1"/>
    <xf numFmtId="0" fontId="7" fillId="6" borderId="15" xfId="0" applyFont="1" applyFill="1" applyBorder="1"/>
    <xf numFmtId="0" fontId="7" fillId="6" borderId="0" xfId="0" applyFont="1" applyFill="1" applyBorder="1" applyAlignment="1">
      <alignment wrapText="1"/>
    </xf>
    <xf numFmtId="0" fontId="7" fillId="6" borderId="16" xfId="0" applyFont="1" applyFill="1" applyBorder="1" applyAlignment="1">
      <alignment wrapText="1"/>
    </xf>
    <xf numFmtId="0" fontId="7" fillId="6" borderId="0" xfId="0" applyFont="1" applyFill="1" applyBorder="1"/>
    <xf numFmtId="0" fontId="7" fillId="6" borderId="16" xfId="0" applyFont="1" applyFill="1" applyBorder="1"/>
    <xf numFmtId="0" fontId="7" fillId="6" borderId="0" xfId="0" quotePrefix="1" applyFont="1" applyFill="1" applyBorder="1"/>
    <xf numFmtId="0" fontId="7" fillId="6" borderId="17" xfId="0" applyFont="1" applyFill="1" applyBorder="1"/>
    <xf numFmtId="0" fontId="7" fillId="6" borderId="18" xfId="0" applyFont="1" applyFill="1" applyBorder="1"/>
    <xf numFmtId="0" fontId="7" fillId="6" borderId="19" xfId="0" applyFont="1" applyFill="1" applyBorder="1"/>
    <xf numFmtId="0" fontId="7" fillId="6" borderId="0" xfId="0" quotePrefix="1" applyFont="1" applyFill="1" applyBorder="1" applyAlignment="1">
      <alignment wrapText="1"/>
    </xf>
    <xf numFmtId="0" fontId="7" fillId="6" borderId="16" xfId="0" quotePrefix="1" applyFont="1" applyFill="1" applyBorder="1" applyAlignment="1">
      <alignment wrapText="1"/>
    </xf>
    <xf numFmtId="0" fontId="10" fillId="10" borderId="3" xfId="0" applyFont="1" applyFill="1" applyBorder="1" applyAlignment="1">
      <alignment vertical="center"/>
    </xf>
    <xf numFmtId="0" fontId="15" fillId="5" borderId="1" xfId="4" applyFont="1" applyAlignment="1">
      <alignment horizontal="center"/>
    </xf>
    <xf numFmtId="0" fontId="16" fillId="2" borderId="0" xfId="1" applyFont="1"/>
    <xf numFmtId="0" fontId="17" fillId="3" borderId="0" xfId="2" applyFont="1"/>
    <xf numFmtId="0" fontId="18" fillId="4" borderId="0" xfId="3" applyFont="1"/>
    <xf numFmtId="0" fontId="7" fillId="0" borderId="0" xfId="0" applyFont="1"/>
    <xf numFmtId="0" fontId="5" fillId="0" borderId="2" xfId="0" applyFont="1" applyBorder="1" applyAlignment="1">
      <alignment vertical="center" wrapText="1"/>
    </xf>
    <xf numFmtId="0" fontId="7" fillId="13" borderId="8" xfId="0" applyFont="1" applyFill="1" applyBorder="1" applyAlignment="1">
      <alignment horizontal="center"/>
    </xf>
    <xf numFmtId="16" fontId="14" fillId="13" borderId="11" xfId="0" applyNumberFormat="1" applyFont="1" applyFill="1" applyBorder="1"/>
    <xf numFmtId="0" fontId="7" fillId="13" borderId="3" xfId="0" applyFont="1" applyFill="1" applyBorder="1" applyAlignment="1">
      <alignment horizontal="center"/>
    </xf>
    <xf numFmtId="0" fontId="7" fillId="6" borderId="23" xfId="0" applyFont="1" applyFill="1" applyBorder="1"/>
    <xf numFmtId="0" fontId="7" fillId="6" borderId="24" xfId="0" applyFont="1" applyFill="1" applyBorder="1"/>
    <xf numFmtId="0" fontId="7" fillId="6" borderId="25" xfId="0" applyFont="1" applyFill="1" applyBorder="1"/>
    <xf numFmtId="0" fontId="0" fillId="6" borderId="0" xfId="0" applyFill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 wrapText="1" indent="1"/>
    </xf>
    <xf numFmtId="0" fontId="10" fillId="10" borderId="27" xfId="0" applyFont="1" applyFill="1" applyBorder="1" applyAlignment="1">
      <alignment vertical="center"/>
    </xf>
    <xf numFmtId="0" fontId="10" fillId="10" borderId="26" xfId="0" applyFont="1" applyFill="1" applyBorder="1" applyAlignment="1">
      <alignment vertical="center"/>
    </xf>
    <xf numFmtId="0" fontId="6" fillId="10" borderId="20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7" fillId="6" borderId="0" xfId="0" quotePrefix="1" applyFont="1" applyFill="1" applyBorder="1" applyAlignment="1">
      <alignment horizontal="left" wrapText="1"/>
    </xf>
    <xf numFmtId="0" fontId="7" fillId="6" borderId="16" xfId="0" quotePrefix="1" applyFont="1" applyFill="1" applyBorder="1" applyAlignment="1">
      <alignment horizontal="left" wrapText="1"/>
    </xf>
    <xf numFmtId="0" fontId="19" fillId="12" borderId="4" xfId="0" applyFont="1" applyFill="1" applyBorder="1" applyAlignment="1">
      <alignment horizontal="center"/>
    </xf>
    <xf numFmtId="0" fontId="19" fillId="12" borderId="5" xfId="0" applyFont="1" applyFill="1" applyBorder="1" applyAlignment="1">
      <alignment horizontal="center"/>
    </xf>
    <xf numFmtId="0" fontId="19" fillId="12" borderId="6" xfId="0" applyFont="1" applyFill="1" applyBorder="1" applyAlignment="1">
      <alignment horizontal="center"/>
    </xf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61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50EDB-D83C-4568-8F0B-91DCB3827D02}" name="Table1" displayName="Table1" ref="A1:A4" totalsRowShown="0" headerRowDxfId="3" headerRowCellStyle="Good">
  <autoFilter ref="A1:A4" xr:uid="{9164C947-D19D-4A0C-A702-F092A4CDF93A}"/>
  <tableColumns count="1">
    <tableColumn id="1" xr3:uid="{221D4DC3-2002-4F1B-828B-25A95E5979E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CBEC-F26F-42F5-B4C0-0271BF546781}">
  <dimension ref="A1:K23"/>
  <sheetViews>
    <sheetView topLeftCell="A3" workbookViewId="0">
      <selection activeCell="B2" sqref="B2:K23"/>
    </sheetView>
  </sheetViews>
  <sheetFormatPr defaultRowHeight="15" x14ac:dyDescent="0.25"/>
  <cols>
    <col min="1" max="1" width="3.5703125" style="52" customWidth="1"/>
    <col min="2" max="2" width="2.85546875" style="27" customWidth="1"/>
    <col min="3" max="6" width="9.140625" style="27"/>
    <col min="7" max="7" width="2.5703125" style="27" customWidth="1"/>
    <col min="8" max="16384" width="9.140625" style="27"/>
  </cols>
  <sheetData>
    <row r="1" spans="2:11" ht="15.75" thickBot="1" x14ac:dyDescent="0.3"/>
    <row r="2" spans="2:11" ht="15.75" thickBot="1" x14ac:dyDescent="0.3">
      <c r="B2" s="57" t="s">
        <v>62</v>
      </c>
      <c r="C2" s="58"/>
      <c r="D2" s="58"/>
      <c r="E2" s="58"/>
      <c r="F2" s="59"/>
      <c r="G2" s="57" t="s">
        <v>63</v>
      </c>
      <c r="H2" s="58"/>
      <c r="I2" s="58"/>
      <c r="J2" s="58"/>
      <c r="K2" s="59"/>
    </row>
    <row r="3" spans="2:11" ht="15" customHeight="1" x14ac:dyDescent="0.25">
      <c r="B3" s="28"/>
      <c r="D3" s="29"/>
      <c r="E3" s="29"/>
      <c r="F3" s="30"/>
      <c r="G3" s="28"/>
      <c r="I3" s="31"/>
      <c r="J3" s="31"/>
      <c r="K3" s="32"/>
    </row>
    <row r="4" spans="2:11" x14ac:dyDescent="0.25">
      <c r="B4" s="28"/>
      <c r="C4" s="60" t="s">
        <v>67</v>
      </c>
      <c r="D4" s="60"/>
      <c r="E4" s="60"/>
      <c r="F4" s="61"/>
      <c r="G4" s="28"/>
      <c r="H4" s="33" t="s">
        <v>71</v>
      </c>
      <c r="I4" s="31"/>
      <c r="J4" s="31"/>
      <c r="K4" s="32"/>
    </row>
    <row r="5" spans="2:11" ht="12" customHeight="1" x14ac:dyDescent="0.25">
      <c r="B5" s="28"/>
      <c r="C5" s="60"/>
      <c r="D5" s="60"/>
      <c r="E5" s="60"/>
      <c r="F5" s="61"/>
      <c r="G5" s="28"/>
      <c r="H5" s="60" t="s">
        <v>72</v>
      </c>
      <c r="I5" s="60"/>
      <c r="J5" s="60"/>
      <c r="K5" s="61"/>
    </row>
    <row r="6" spans="2:11" x14ac:dyDescent="0.25">
      <c r="B6" s="28"/>
      <c r="C6" s="33" t="s">
        <v>68</v>
      </c>
      <c r="D6" s="31"/>
      <c r="E6" s="31"/>
      <c r="F6" s="32"/>
      <c r="G6" s="28"/>
      <c r="H6" s="37"/>
      <c r="I6" s="37"/>
      <c r="J6" s="37"/>
      <c r="K6" s="38"/>
    </row>
    <row r="7" spans="2:11" x14ac:dyDescent="0.25">
      <c r="B7" s="28"/>
      <c r="C7" s="33" t="s">
        <v>69</v>
      </c>
      <c r="D7" s="31"/>
      <c r="E7" s="31"/>
      <c r="F7" s="32"/>
      <c r="G7" s="28"/>
      <c r="H7" s="31"/>
      <c r="I7" s="31"/>
      <c r="J7" s="31"/>
      <c r="K7" s="32"/>
    </row>
    <row r="8" spans="2:11" x14ac:dyDescent="0.25">
      <c r="B8" s="28"/>
      <c r="C8" s="31" t="s">
        <v>66</v>
      </c>
      <c r="D8" s="31"/>
      <c r="E8" s="31"/>
      <c r="F8" s="32"/>
      <c r="G8" s="28"/>
      <c r="H8" s="31"/>
      <c r="I8" s="31"/>
      <c r="J8" s="31"/>
      <c r="K8" s="32"/>
    </row>
    <row r="9" spans="2:11" x14ac:dyDescent="0.25">
      <c r="B9" s="28"/>
      <c r="D9" s="31"/>
      <c r="E9" s="31"/>
      <c r="F9" s="32"/>
      <c r="G9" s="28"/>
      <c r="H9" s="31"/>
      <c r="I9" s="31"/>
      <c r="J9" s="31"/>
      <c r="K9" s="32"/>
    </row>
    <row r="10" spans="2:11" x14ac:dyDescent="0.25">
      <c r="B10" s="28"/>
      <c r="C10" s="31"/>
      <c r="D10" s="31"/>
      <c r="E10" s="31"/>
      <c r="F10" s="32"/>
      <c r="G10" s="28"/>
      <c r="H10" s="31"/>
      <c r="I10" s="31"/>
      <c r="J10" s="31"/>
      <c r="K10" s="32"/>
    </row>
    <row r="11" spans="2:11" x14ac:dyDescent="0.25">
      <c r="B11" s="28"/>
      <c r="C11" s="31"/>
      <c r="D11" s="31"/>
      <c r="E11" s="31"/>
      <c r="F11" s="32"/>
      <c r="G11" s="28"/>
      <c r="H11" s="31"/>
      <c r="I11" s="31"/>
      <c r="J11" s="31"/>
      <c r="K11" s="32"/>
    </row>
    <row r="12" spans="2:11" ht="15.75" thickBot="1" x14ac:dyDescent="0.3">
      <c r="B12" s="34"/>
      <c r="C12" s="35"/>
      <c r="D12" s="35"/>
      <c r="E12" s="35"/>
      <c r="F12" s="36"/>
      <c r="G12" s="34"/>
      <c r="H12" s="35"/>
      <c r="I12" s="35"/>
      <c r="J12" s="35"/>
      <c r="K12" s="36"/>
    </row>
    <row r="13" spans="2:11" ht="15.75" thickBot="1" x14ac:dyDescent="0.3">
      <c r="B13" s="57" t="s">
        <v>64</v>
      </c>
      <c r="C13" s="58"/>
      <c r="D13" s="58"/>
      <c r="E13" s="58"/>
      <c r="F13" s="59"/>
      <c r="G13" s="57" t="s">
        <v>65</v>
      </c>
      <c r="H13" s="58"/>
      <c r="I13" s="58"/>
      <c r="J13" s="58"/>
      <c r="K13" s="59"/>
    </row>
    <row r="14" spans="2:11" x14ac:dyDescent="0.25">
      <c r="B14" s="28"/>
      <c r="C14" s="31"/>
      <c r="D14" s="31"/>
      <c r="E14" s="31"/>
      <c r="F14" s="32"/>
      <c r="G14" s="49"/>
      <c r="H14" s="50"/>
      <c r="I14" s="50"/>
      <c r="J14" s="50"/>
      <c r="K14" s="51"/>
    </row>
    <row r="15" spans="2:11" x14ac:dyDescent="0.25">
      <c r="B15" s="28"/>
      <c r="C15" s="33" t="s">
        <v>75</v>
      </c>
      <c r="D15" s="31"/>
      <c r="E15" s="31"/>
      <c r="F15" s="32"/>
      <c r="G15" s="28"/>
      <c r="H15" s="33" t="s">
        <v>73</v>
      </c>
      <c r="I15" s="31"/>
      <c r="J15" s="31"/>
      <c r="K15" s="32"/>
    </row>
    <row r="16" spans="2:11" x14ac:dyDescent="0.25">
      <c r="B16" s="28"/>
      <c r="C16" s="33" t="s">
        <v>110</v>
      </c>
      <c r="D16" s="31"/>
      <c r="E16" s="31"/>
      <c r="F16" s="32"/>
      <c r="G16" s="28"/>
      <c r="H16" s="33" t="s">
        <v>74</v>
      </c>
      <c r="I16" s="31"/>
      <c r="J16" s="31"/>
      <c r="K16" s="32"/>
    </row>
    <row r="17" spans="2:11" ht="12" customHeight="1" x14ac:dyDescent="0.25">
      <c r="B17" s="28"/>
      <c r="C17" s="60" t="s">
        <v>70</v>
      </c>
      <c r="D17" s="60"/>
      <c r="E17" s="60"/>
      <c r="F17" s="61"/>
      <c r="G17" s="28"/>
      <c r="H17" s="60" t="s">
        <v>109</v>
      </c>
      <c r="I17" s="60"/>
      <c r="J17" s="60"/>
      <c r="K17" s="61"/>
    </row>
    <row r="18" spans="2:11" x14ac:dyDescent="0.25">
      <c r="B18" s="28"/>
      <c r="C18" s="60"/>
      <c r="D18" s="60"/>
      <c r="E18" s="60"/>
      <c r="F18" s="61"/>
      <c r="G18" s="28"/>
      <c r="H18" s="60"/>
      <c r="I18" s="60"/>
      <c r="J18" s="60"/>
      <c r="K18" s="61"/>
    </row>
    <row r="19" spans="2:11" x14ac:dyDescent="0.25">
      <c r="B19" s="28"/>
      <c r="C19" s="31"/>
      <c r="D19" s="31"/>
      <c r="E19" s="31"/>
      <c r="F19" s="32"/>
      <c r="G19" s="28"/>
      <c r="H19" s="31"/>
      <c r="I19" s="31"/>
      <c r="J19" s="31"/>
      <c r="K19" s="32"/>
    </row>
    <row r="20" spans="2:11" x14ac:dyDescent="0.25">
      <c r="B20" s="28"/>
      <c r="C20" s="31"/>
      <c r="D20" s="31"/>
      <c r="E20" s="31"/>
      <c r="F20" s="32"/>
      <c r="G20" s="28"/>
      <c r="H20" s="31"/>
      <c r="I20" s="31"/>
      <c r="J20" s="31"/>
      <c r="K20" s="32"/>
    </row>
    <row r="21" spans="2:11" x14ac:dyDescent="0.25">
      <c r="B21" s="28"/>
      <c r="C21" s="31"/>
      <c r="D21" s="31"/>
      <c r="E21" s="31"/>
      <c r="F21" s="32"/>
      <c r="G21" s="28"/>
      <c r="H21" s="31"/>
      <c r="I21" s="31"/>
      <c r="J21" s="31"/>
      <c r="K21" s="32"/>
    </row>
    <row r="22" spans="2:11" x14ac:dyDescent="0.25">
      <c r="B22" s="28"/>
      <c r="C22" s="31"/>
      <c r="D22" s="31"/>
      <c r="E22" s="31"/>
      <c r="F22" s="32"/>
      <c r="G22" s="28"/>
      <c r="H22" s="31"/>
      <c r="I22" s="31"/>
      <c r="J22" s="31"/>
      <c r="K22" s="32"/>
    </row>
    <row r="23" spans="2:11" ht="15.75" thickBot="1" x14ac:dyDescent="0.3">
      <c r="B23" s="34"/>
      <c r="C23" s="35"/>
      <c r="D23" s="35"/>
      <c r="E23" s="35"/>
      <c r="F23" s="36"/>
      <c r="G23" s="34"/>
      <c r="H23" s="35"/>
      <c r="I23" s="35"/>
      <c r="J23" s="35"/>
      <c r="K23" s="36"/>
    </row>
  </sheetData>
  <mergeCells count="8">
    <mergeCell ref="B2:F2"/>
    <mergeCell ref="G2:K2"/>
    <mergeCell ref="H17:K18"/>
    <mergeCell ref="C17:F18"/>
    <mergeCell ref="C4:F5"/>
    <mergeCell ref="H5:K5"/>
    <mergeCell ref="B13:F13"/>
    <mergeCell ref="G13:K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CF17-39E3-414F-8F99-8281B0343C6D}">
  <dimension ref="B2:F18"/>
  <sheetViews>
    <sheetView workbookViewId="0">
      <selection activeCell="F3" sqref="F3:F7"/>
    </sheetView>
  </sheetViews>
  <sheetFormatPr defaultRowHeight="15" x14ac:dyDescent="0.25"/>
  <cols>
    <col min="1" max="1" width="3.5703125" style="52" customWidth="1"/>
    <col min="2" max="2" width="2.7109375" style="52" bestFit="1" customWidth="1"/>
    <col min="3" max="3" width="35.28515625" style="52" customWidth="1"/>
    <col min="4" max="4" width="3.5703125" style="52" customWidth="1"/>
    <col min="5" max="5" width="1.85546875" style="52" bestFit="1" customWidth="1"/>
    <col min="6" max="6" width="35.28515625" style="52" customWidth="1"/>
    <col min="7" max="16384" width="9.140625" style="52"/>
  </cols>
  <sheetData>
    <row r="2" spans="2:6" x14ac:dyDescent="0.25">
      <c r="B2" s="56"/>
      <c r="C2" s="55" t="s">
        <v>59</v>
      </c>
      <c r="E2" s="56"/>
      <c r="F2" s="55" t="s">
        <v>20</v>
      </c>
    </row>
    <row r="3" spans="2:6" x14ac:dyDescent="0.25">
      <c r="B3" s="53">
        <v>1</v>
      </c>
      <c r="C3" s="54" t="s">
        <v>77</v>
      </c>
      <c r="E3" s="53">
        <v>1</v>
      </c>
      <c r="F3" s="54" t="s">
        <v>55</v>
      </c>
    </row>
    <row r="4" spans="2:6" x14ac:dyDescent="0.25">
      <c r="B4" s="53">
        <v>2</v>
      </c>
      <c r="C4" s="54" t="s">
        <v>76</v>
      </c>
      <c r="E4" s="53">
        <v>2</v>
      </c>
      <c r="F4" s="54" t="s">
        <v>56</v>
      </c>
    </row>
    <row r="5" spans="2:6" x14ac:dyDescent="0.25">
      <c r="B5" s="53">
        <v>3</v>
      </c>
      <c r="C5" s="54" t="s">
        <v>104</v>
      </c>
      <c r="E5" s="53">
        <v>3</v>
      </c>
      <c r="F5" s="54" t="s">
        <v>54</v>
      </c>
    </row>
    <row r="6" spans="2:6" x14ac:dyDescent="0.25">
      <c r="B6" s="53">
        <v>4</v>
      </c>
      <c r="C6" s="54" t="s">
        <v>105</v>
      </c>
      <c r="E6" s="53">
        <v>4</v>
      </c>
      <c r="F6" s="54" t="s">
        <v>102</v>
      </c>
    </row>
    <row r="7" spans="2:6" x14ac:dyDescent="0.25">
      <c r="B7" s="53">
        <v>5</v>
      </c>
      <c r="C7" s="54" t="s">
        <v>106</v>
      </c>
      <c r="E7" s="53">
        <v>5</v>
      </c>
      <c r="F7" s="54" t="s">
        <v>112</v>
      </c>
    </row>
    <row r="8" spans="2:6" x14ac:dyDescent="0.25">
      <c r="B8" s="53">
        <v>6</v>
      </c>
      <c r="C8" s="54" t="s">
        <v>103</v>
      </c>
    </row>
    <row r="9" spans="2:6" x14ac:dyDescent="0.25">
      <c r="B9" s="53">
        <v>7</v>
      </c>
      <c r="C9" s="54" t="s">
        <v>107</v>
      </c>
    </row>
    <row r="10" spans="2:6" x14ac:dyDescent="0.25">
      <c r="B10" s="53">
        <v>8</v>
      </c>
      <c r="C10" s="54" t="s">
        <v>41</v>
      </c>
    </row>
    <row r="11" spans="2:6" x14ac:dyDescent="0.25">
      <c r="B11" s="53">
        <v>9</v>
      </c>
      <c r="C11" s="54" t="s">
        <v>42</v>
      </c>
    </row>
    <row r="12" spans="2:6" x14ac:dyDescent="0.25">
      <c r="B12" s="53">
        <v>10</v>
      </c>
      <c r="C12" s="54" t="s">
        <v>78</v>
      </c>
    </row>
    <row r="13" spans="2:6" x14ac:dyDescent="0.25">
      <c r="B13" s="53">
        <v>11</v>
      </c>
      <c r="C13" s="54" t="s">
        <v>47</v>
      </c>
    </row>
    <row r="14" spans="2:6" x14ac:dyDescent="0.25">
      <c r="B14" s="53">
        <v>12</v>
      </c>
      <c r="C14" s="54" t="s">
        <v>108</v>
      </c>
    </row>
    <row r="15" spans="2:6" x14ac:dyDescent="0.25">
      <c r="B15" s="53">
        <v>13</v>
      </c>
      <c r="C15" s="54" t="s">
        <v>79</v>
      </c>
    </row>
    <row r="16" spans="2:6" x14ac:dyDescent="0.25">
      <c r="B16" s="53">
        <v>14</v>
      </c>
      <c r="C16" s="54" t="s">
        <v>81</v>
      </c>
    </row>
    <row r="17" spans="2:3" x14ac:dyDescent="0.25">
      <c r="B17" s="53">
        <v>15</v>
      </c>
      <c r="C17" s="54" t="s">
        <v>82</v>
      </c>
    </row>
    <row r="18" spans="2:3" x14ac:dyDescent="0.25">
      <c r="B18" s="53">
        <v>16</v>
      </c>
      <c r="C18" s="5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35DF-7DF4-4DE4-A26F-960FA5AEFD5C}">
  <dimension ref="B2:F7"/>
  <sheetViews>
    <sheetView workbookViewId="0">
      <selection activeCell="B2" sqref="B2:F7"/>
    </sheetView>
  </sheetViews>
  <sheetFormatPr defaultRowHeight="15" x14ac:dyDescent="0.25"/>
  <cols>
    <col min="1" max="1" width="3.5703125" style="52" customWidth="1"/>
    <col min="2" max="2" width="1.85546875" style="52" bestFit="1" customWidth="1"/>
    <col min="3" max="3" width="35.28515625" style="52" customWidth="1"/>
    <col min="4" max="4" width="3.5703125" style="52" customWidth="1"/>
    <col min="5" max="5" width="1.85546875" style="52" bestFit="1" customWidth="1"/>
    <col min="6" max="6" width="35.28515625" style="52" customWidth="1"/>
    <col min="7" max="16384" width="9.140625" style="52"/>
  </cols>
  <sheetData>
    <row r="2" spans="2:6" x14ac:dyDescent="0.25">
      <c r="B2" s="56"/>
      <c r="C2" s="55" t="s">
        <v>60</v>
      </c>
      <c r="E2" s="56"/>
      <c r="F2" s="55" t="s">
        <v>61</v>
      </c>
    </row>
    <row r="3" spans="2:6" ht="22.5" x14ac:dyDescent="0.25">
      <c r="B3" s="53">
        <v>1</v>
      </c>
      <c r="C3" s="54" t="s">
        <v>84</v>
      </c>
      <c r="E3" s="53">
        <v>1</v>
      </c>
      <c r="F3" s="54" t="s">
        <v>88</v>
      </c>
    </row>
    <row r="4" spans="2:6" ht="22.5" x14ac:dyDescent="0.25">
      <c r="B4" s="53">
        <v>2</v>
      </c>
      <c r="C4" s="54" t="s">
        <v>85</v>
      </c>
      <c r="E4" s="53">
        <v>2</v>
      </c>
      <c r="F4" s="54" t="s">
        <v>89</v>
      </c>
    </row>
    <row r="5" spans="2:6" x14ac:dyDescent="0.25">
      <c r="B5" s="53">
        <v>3</v>
      </c>
      <c r="C5" s="54" t="s">
        <v>86</v>
      </c>
      <c r="E5" s="53">
        <v>3</v>
      </c>
      <c r="F5" s="54" t="s">
        <v>90</v>
      </c>
    </row>
    <row r="6" spans="2:6" x14ac:dyDescent="0.25">
      <c r="B6" s="53">
        <v>4</v>
      </c>
      <c r="C6" s="54" t="s">
        <v>87</v>
      </c>
      <c r="E6" s="53">
        <v>4</v>
      </c>
      <c r="F6" s="54" t="s">
        <v>96</v>
      </c>
    </row>
    <row r="7" spans="2:6" x14ac:dyDescent="0.25">
      <c r="B7" s="53">
        <v>5</v>
      </c>
      <c r="C7" s="54" t="s">
        <v>100</v>
      </c>
      <c r="E7" s="53">
        <v>5</v>
      </c>
      <c r="F7" s="54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1F42-4C49-4F67-A11B-E3FE4E8A2695}">
  <dimension ref="A1:BU55"/>
  <sheetViews>
    <sheetView tabSelected="1" zoomScaleNormal="100" zoomScaleSheetLayoutView="80" workbookViewId="0">
      <pane xSplit="2" ySplit="3" topLeftCell="C30" activePane="bottomRight" state="frozen"/>
      <selection pane="topRight" activeCell="C1" sqref="C1"/>
      <selection pane="bottomLeft" activeCell="A4" sqref="A4"/>
      <selection pane="bottomRight" activeCell="AU25" sqref="AU25"/>
    </sheetView>
  </sheetViews>
  <sheetFormatPr defaultColWidth="6.42578125" defaultRowHeight="15" x14ac:dyDescent="0.25"/>
  <cols>
    <col min="1" max="1" width="4.42578125" bestFit="1" customWidth="1"/>
    <col min="2" max="2" width="36.7109375" bestFit="1" customWidth="1"/>
    <col min="3" max="3" width="8.140625" customWidth="1"/>
    <col min="4" max="4" width="5.140625" hidden="1" customWidth="1"/>
    <col min="5" max="38" width="4.7109375" hidden="1" customWidth="1"/>
    <col min="39" max="66" width="4.7109375" customWidth="1"/>
    <col min="67" max="73" width="5" customWidth="1"/>
  </cols>
  <sheetData>
    <row r="1" spans="1:73" s="1" customFormat="1" ht="12.75" thickBot="1" x14ac:dyDescent="0.25">
      <c r="A1" s="24"/>
      <c r="B1" s="1" t="s">
        <v>10</v>
      </c>
      <c r="D1" s="62" t="s">
        <v>0</v>
      </c>
      <c r="E1" s="63"/>
      <c r="F1" s="63"/>
      <c r="G1" s="63"/>
      <c r="H1" s="63"/>
      <c r="I1" s="63"/>
      <c r="J1" s="64"/>
      <c r="K1" s="62" t="s">
        <v>1</v>
      </c>
      <c r="L1" s="63"/>
      <c r="M1" s="63"/>
      <c r="N1" s="63"/>
      <c r="O1" s="63"/>
      <c r="P1" s="63"/>
      <c r="Q1" s="64"/>
      <c r="R1" s="62" t="s">
        <v>2</v>
      </c>
      <c r="S1" s="63"/>
      <c r="T1" s="63"/>
      <c r="U1" s="63"/>
      <c r="V1" s="63"/>
      <c r="W1" s="63"/>
      <c r="X1" s="64"/>
      <c r="Y1" s="62" t="s">
        <v>3</v>
      </c>
      <c r="Z1" s="63"/>
      <c r="AA1" s="63"/>
      <c r="AB1" s="63"/>
      <c r="AC1" s="63"/>
      <c r="AD1" s="63"/>
      <c r="AE1" s="64"/>
      <c r="AF1" s="62" t="s">
        <v>4</v>
      </c>
      <c r="AG1" s="63"/>
      <c r="AH1" s="63"/>
      <c r="AI1" s="63"/>
      <c r="AJ1" s="63"/>
      <c r="AK1" s="63"/>
      <c r="AL1" s="64"/>
      <c r="AM1" s="62" t="s">
        <v>5</v>
      </c>
      <c r="AN1" s="63"/>
      <c r="AO1" s="63"/>
      <c r="AP1" s="63"/>
      <c r="AQ1" s="63"/>
      <c r="AR1" s="63"/>
      <c r="AS1" s="64"/>
      <c r="AT1" s="62" t="s">
        <v>6</v>
      </c>
      <c r="AU1" s="63"/>
      <c r="AV1" s="63"/>
      <c r="AW1" s="63"/>
      <c r="AX1" s="63"/>
      <c r="AY1" s="63"/>
      <c r="AZ1" s="64"/>
      <c r="BA1" s="62" t="s">
        <v>7</v>
      </c>
      <c r="BB1" s="63"/>
      <c r="BC1" s="63"/>
      <c r="BD1" s="63"/>
      <c r="BE1" s="63"/>
      <c r="BF1" s="63"/>
      <c r="BG1" s="64"/>
      <c r="BH1" s="62" t="s">
        <v>8</v>
      </c>
      <c r="BI1" s="63"/>
      <c r="BJ1" s="63"/>
      <c r="BK1" s="63"/>
      <c r="BL1" s="63"/>
      <c r="BM1" s="63"/>
      <c r="BN1" s="64"/>
      <c r="BO1" s="62" t="s">
        <v>9</v>
      </c>
      <c r="BP1" s="63"/>
      <c r="BQ1" s="63"/>
      <c r="BR1" s="63"/>
      <c r="BS1" s="63"/>
      <c r="BT1" s="63"/>
      <c r="BU1" s="64"/>
    </row>
    <row r="2" spans="1:73" s="2" customFormat="1" ht="12" x14ac:dyDescent="0.2">
      <c r="A2" s="25"/>
      <c r="B2" s="1" t="s">
        <v>29</v>
      </c>
      <c r="C2" s="1"/>
      <c r="D2" s="14" t="s">
        <v>13</v>
      </c>
      <c r="E2" s="15" t="s">
        <v>14</v>
      </c>
      <c r="F2" s="15" t="s">
        <v>15</v>
      </c>
      <c r="G2" s="46" t="s">
        <v>16</v>
      </c>
      <c r="H2" s="15" t="s">
        <v>17</v>
      </c>
      <c r="I2" s="15" t="s">
        <v>18</v>
      </c>
      <c r="J2" s="16" t="s">
        <v>19</v>
      </c>
      <c r="K2" s="14" t="s">
        <v>13</v>
      </c>
      <c r="L2" s="15" t="s">
        <v>14</v>
      </c>
      <c r="M2" s="15" t="s">
        <v>15</v>
      </c>
      <c r="N2" s="46" t="s">
        <v>16</v>
      </c>
      <c r="O2" s="15" t="s">
        <v>17</v>
      </c>
      <c r="P2" s="15" t="s">
        <v>18</v>
      </c>
      <c r="Q2" s="16" t="s">
        <v>19</v>
      </c>
      <c r="R2" s="20" t="s">
        <v>13</v>
      </c>
      <c r="S2" s="12" t="s">
        <v>14</v>
      </c>
      <c r="T2" s="12" t="s">
        <v>15</v>
      </c>
      <c r="U2" s="48" t="s">
        <v>16</v>
      </c>
      <c r="V2" s="12" t="s">
        <v>17</v>
      </c>
      <c r="W2" s="12" t="s">
        <v>18</v>
      </c>
      <c r="X2" s="21" t="s">
        <v>19</v>
      </c>
      <c r="Y2" s="20" t="s">
        <v>13</v>
      </c>
      <c r="Z2" s="12" t="s">
        <v>14</v>
      </c>
      <c r="AA2" s="12" t="s">
        <v>15</v>
      </c>
      <c r="AB2" s="46" t="s">
        <v>16</v>
      </c>
      <c r="AC2" s="12" t="s">
        <v>17</v>
      </c>
      <c r="AD2" s="12" t="s">
        <v>18</v>
      </c>
      <c r="AE2" s="21" t="s">
        <v>19</v>
      </c>
      <c r="AF2" s="20" t="s">
        <v>13</v>
      </c>
      <c r="AG2" s="12" t="s">
        <v>14</v>
      </c>
      <c r="AH2" s="12" t="s">
        <v>15</v>
      </c>
      <c r="AI2" s="48" t="s">
        <v>16</v>
      </c>
      <c r="AJ2" s="12" t="s">
        <v>17</v>
      </c>
      <c r="AK2" s="12" t="s">
        <v>18</v>
      </c>
      <c r="AL2" s="21" t="s">
        <v>19</v>
      </c>
      <c r="AM2" s="20" t="s">
        <v>13</v>
      </c>
      <c r="AN2" s="12" t="s">
        <v>14</v>
      </c>
      <c r="AO2" s="12" t="s">
        <v>15</v>
      </c>
      <c r="AP2" s="48" t="s">
        <v>16</v>
      </c>
      <c r="AQ2" s="12" t="s">
        <v>17</v>
      </c>
      <c r="AR2" s="12" t="s">
        <v>18</v>
      </c>
      <c r="AS2" s="21" t="s">
        <v>19</v>
      </c>
      <c r="AT2" s="20" t="s">
        <v>13</v>
      </c>
      <c r="AU2" s="12" t="s">
        <v>14</v>
      </c>
      <c r="AV2" s="12" t="s">
        <v>15</v>
      </c>
      <c r="AW2" s="48" t="s">
        <v>16</v>
      </c>
      <c r="AX2" s="12" t="s">
        <v>17</v>
      </c>
      <c r="AY2" s="12" t="s">
        <v>18</v>
      </c>
      <c r="AZ2" s="21" t="s">
        <v>19</v>
      </c>
      <c r="BA2" s="14" t="s">
        <v>13</v>
      </c>
      <c r="BB2" s="15" t="s">
        <v>14</v>
      </c>
      <c r="BC2" s="15" t="s">
        <v>15</v>
      </c>
      <c r="BD2" s="46" t="s">
        <v>16</v>
      </c>
      <c r="BE2" s="15" t="s">
        <v>17</v>
      </c>
      <c r="BF2" s="15" t="s">
        <v>18</v>
      </c>
      <c r="BG2" s="16" t="s">
        <v>19</v>
      </c>
      <c r="BH2" s="14" t="s">
        <v>13</v>
      </c>
      <c r="BI2" s="15" t="s">
        <v>14</v>
      </c>
      <c r="BJ2" s="15" t="s">
        <v>15</v>
      </c>
      <c r="BK2" s="46" t="s">
        <v>16</v>
      </c>
      <c r="BL2" s="15" t="s">
        <v>17</v>
      </c>
      <c r="BM2" s="15" t="s">
        <v>18</v>
      </c>
      <c r="BN2" s="16" t="s">
        <v>19</v>
      </c>
      <c r="BO2" s="20" t="s">
        <v>13</v>
      </c>
      <c r="BP2" s="12" t="s">
        <v>14</v>
      </c>
      <c r="BQ2" s="12" t="s">
        <v>15</v>
      </c>
      <c r="BR2" s="48" t="s">
        <v>16</v>
      </c>
      <c r="BS2" s="12" t="s">
        <v>17</v>
      </c>
      <c r="BT2" s="12" t="s">
        <v>18</v>
      </c>
      <c r="BU2" s="21" t="s">
        <v>19</v>
      </c>
    </row>
    <row r="3" spans="1:73" s="1" customFormat="1" ht="12.75" thickBot="1" x14ac:dyDescent="0.25">
      <c r="A3" s="26"/>
      <c r="B3" s="1" t="s">
        <v>80</v>
      </c>
      <c r="C3" s="40" t="s">
        <v>91</v>
      </c>
      <c r="D3" s="17">
        <v>44347</v>
      </c>
      <c r="E3" s="18">
        <v>44348</v>
      </c>
      <c r="F3" s="18">
        <v>44349</v>
      </c>
      <c r="G3" s="47">
        <v>44350</v>
      </c>
      <c r="H3" s="18">
        <v>44351</v>
      </c>
      <c r="I3" s="18">
        <v>44352</v>
      </c>
      <c r="J3" s="19">
        <v>44353</v>
      </c>
      <c r="K3" s="17">
        <v>44354</v>
      </c>
      <c r="L3" s="18">
        <v>44355</v>
      </c>
      <c r="M3" s="18">
        <v>44356</v>
      </c>
      <c r="N3" s="47">
        <v>44357</v>
      </c>
      <c r="O3" s="18">
        <v>44358</v>
      </c>
      <c r="P3" s="18">
        <v>44359</v>
      </c>
      <c r="Q3" s="19">
        <v>44360</v>
      </c>
      <c r="R3" s="17">
        <v>44361</v>
      </c>
      <c r="S3" s="18">
        <v>44362</v>
      </c>
      <c r="T3" s="18">
        <v>44363</v>
      </c>
      <c r="U3" s="47">
        <v>44364</v>
      </c>
      <c r="V3" s="18">
        <v>44365</v>
      </c>
      <c r="W3" s="18">
        <v>44366</v>
      </c>
      <c r="X3" s="19">
        <v>44367</v>
      </c>
      <c r="Y3" s="17">
        <v>44368</v>
      </c>
      <c r="Z3" s="18">
        <v>44369</v>
      </c>
      <c r="AA3" s="18">
        <v>44370</v>
      </c>
      <c r="AB3" s="47">
        <v>44371</v>
      </c>
      <c r="AC3" s="18">
        <v>44372</v>
      </c>
      <c r="AD3" s="18">
        <v>44373</v>
      </c>
      <c r="AE3" s="19">
        <v>44374</v>
      </c>
      <c r="AF3" s="17">
        <v>44375</v>
      </c>
      <c r="AG3" s="18">
        <v>44376</v>
      </c>
      <c r="AH3" s="18">
        <v>44377</v>
      </c>
      <c r="AI3" s="47">
        <v>44378</v>
      </c>
      <c r="AJ3" s="18">
        <v>44379</v>
      </c>
      <c r="AK3" s="18">
        <v>44380</v>
      </c>
      <c r="AL3" s="19">
        <v>44381</v>
      </c>
      <c r="AM3" s="17">
        <v>44382</v>
      </c>
      <c r="AN3" s="18">
        <v>44383</v>
      </c>
      <c r="AO3" s="18">
        <v>44384</v>
      </c>
      <c r="AP3" s="47">
        <v>44385</v>
      </c>
      <c r="AQ3" s="18">
        <v>44386</v>
      </c>
      <c r="AR3" s="18">
        <v>44387</v>
      </c>
      <c r="AS3" s="19">
        <v>44388</v>
      </c>
      <c r="AT3" s="17">
        <v>44389</v>
      </c>
      <c r="AU3" s="18">
        <v>44390</v>
      </c>
      <c r="AV3" s="18">
        <v>44391</v>
      </c>
      <c r="AW3" s="47">
        <v>44392</v>
      </c>
      <c r="AX3" s="18">
        <v>44393</v>
      </c>
      <c r="AY3" s="18">
        <v>44394</v>
      </c>
      <c r="AZ3" s="19">
        <v>44395</v>
      </c>
      <c r="BA3" s="17">
        <v>44396</v>
      </c>
      <c r="BB3" s="18">
        <v>44397</v>
      </c>
      <c r="BC3" s="18">
        <v>44398</v>
      </c>
      <c r="BD3" s="47">
        <v>44399</v>
      </c>
      <c r="BE3" s="18">
        <v>44400</v>
      </c>
      <c r="BF3" s="18">
        <v>44401</v>
      </c>
      <c r="BG3" s="19">
        <v>44402</v>
      </c>
      <c r="BH3" s="17">
        <v>44403</v>
      </c>
      <c r="BI3" s="18">
        <v>44404</v>
      </c>
      <c r="BJ3" s="18">
        <v>44405</v>
      </c>
      <c r="BK3" s="47">
        <v>44406</v>
      </c>
      <c r="BL3" s="18">
        <v>44407</v>
      </c>
      <c r="BM3" s="18">
        <v>44408</v>
      </c>
      <c r="BN3" s="19">
        <v>44409</v>
      </c>
      <c r="BO3" s="17">
        <v>44410</v>
      </c>
      <c r="BP3" s="18">
        <v>44411</v>
      </c>
      <c r="BQ3" s="18">
        <v>44412</v>
      </c>
      <c r="BR3" s="47">
        <v>44413</v>
      </c>
      <c r="BS3" s="18">
        <v>44414</v>
      </c>
      <c r="BT3" s="18">
        <v>44415</v>
      </c>
      <c r="BU3" s="19">
        <v>44416</v>
      </c>
    </row>
    <row r="4" spans="1:73" hidden="1" x14ac:dyDescent="0.25">
      <c r="A4" s="3" t="str">
        <f>IF(ISERROR(VALUE(SUBSTITUTE(prevWBS,".",""))),"1",IF(ISERROR(FIND("`",SUBSTITUTE(prevWBS,".","`",1))),TEXT(VALUE(prevWBS)+1,"#"),TEXT(VALUE(LEFT(prevWBS,FIND("`",SUBSTITUTE(prevWBS,".","`",1))-1))+1,"#")))</f>
        <v>1</v>
      </c>
      <c r="B4" s="4" t="s">
        <v>21</v>
      </c>
      <c r="C4" s="39"/>
      <c r="D4" s="13"/>
      <c r="E4" s="13"/>
      <c r="F4" s="13"/>
      <c r="G4" s="13"/>
      <c r="H4" s="13"/>
      <c r="I4" s="13"/>
      <c r="J4" s="13"/>
      <c r="K4" s="5"/>
      <c r="L4" s="5"/>
      <c r="M4" s="5"/>
      <c r="N4" s="5"/>
      <c r="O4" s="5"/>
      <c r="P4" s="5"/>
      <c r="Q4" s="5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</row>
    <row r="5" spans="1:73" ht="12.75" hidden="1" customHeight="1" x14ac:dyDescent="0.25">
      <c r="A5" s="6" t="str">
        <f t="shared" ref="A5:A14" si="0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1.1</v>
      </c>
      <c r="B5" s="7" t="s">
        <v>22</v>
      </c>
      <c r="C5" s="45" t="s">
        <v>92</v>
      </c>
      <c r="D5" s="22"/>
      <c r="E5" s="22"/>
      <c r="F5" s="22"/>
      <c r="G5" s="22"/>
      <c r="H5" s="2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3"/>
      <c r="AE5" s="13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13"/>
      <c r="BG5" s="13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</row>
    <row r="6" spans="1:73" ht="12.75" hidden="1" customHeight="1" x14ac:dyDescent="0.25">
      <c r="A6" s="6" t="str">
        <f t="shared" si="0"/>
        <v>1.2</v>
      </c>
      <c r="B6" s="7" t="s">
        <v>23</v>
      </c>
      <c r="C6" s="45" t="s">
        <v>92</v>
      </c>
      <c r="D6" s="8"/>
      <c r="E6" s="8"/>
      <c r="F6" s="8"/>
      <c r="G6" s="8"/>
      <c r="H6" s="8"/>
      <c r="I6" s="22"/>
      <c r="J6" s="22"/>
      <c r="K6" s="22"/>
      <c r="L6" s="22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3"/>
      <c r="AE6" s="13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13"/>
      <c r="BG6" s="13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</row>
    <row r="7" spans="1:73" ht="12.75" hidden="1" customHeight="1" x14ac:dyDescent="0.25">
      <c r="A7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1.2.1</v>
      </c>
      <c r="B7" s="9" t="s">
        <v>24</v>
      </c>
      <c r="C7" s="45" t="s">
        <v>92</v>
      </c>
      <c r="D7" s="8"/>
      <c r="E7" s="8"/>
      <c r="F7" s="8"/>
      <c r="G7" s="8"/>
      <c r="H7" s="8"/>
      <c r="I7" s="22"/>
      <c r="J7" s="22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3"/>
      <c r="AE7" s="13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13"/>
      <c r="BG7" s="13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</row>
    <row r="8" spans="1:73" ht="12.75" hidden="1" customHeight="1" x14ac:dyDescent="0.25">
      <c r="A8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1.2.2</v>
      </c>
      <c r="B8" s="9" t="s">
        <v>11</v>
      </c>
      <c r="C8" s="45" t="s">
        <v>92</v>
      </c>
      <c r="D8" s="8"/>
      <c r="E8" s="8"/>
      <c r="F8" s="8"/>
      <c r="G8" s="8"/>
      <c r="H8" s="8"/>
      <c r="I8" s="22"/>
      <c r="J8" s="22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3"/>
      <c r="AE8" s="13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13"/>
      <c r="BG8" s="13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</row>
    <row r="9" spans="1:73" ht="12.75" hidden="1" customHeight="1" x14ac:dyDescent="0.25">
      <c r="A9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1.2.3</v>
      </c>
      <c r="B9" s="9" t="s">
        <v>25</v>
      </c>
      <c r="C9" s="45" t="s">
        <v>92</v>
      </c>
      <c r="D9" s="8"/>
      <c r="E9" s="8"/>
      <c r="F9" s="8"/>
      <c r="G9" s="8"/>
      <c r="H9" s="8"/>
      <c r="I9" s="8"/>
      <c r="J9" s="8"/>
      <c r="K9" s="22"/>
      <c r="L9" s="22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3"/>
      <c r="AE9" s="13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13"/>
      <c r="BG9" s="13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</row>
    <row r="10" spans="1:73" ht="12.75" hidden="1" customHeight="1" x14ac:dyDescent="0.25">
      <c r="A10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1.2.4</v>
      </c>
      <c r="B10" s="9" t="s">
        <v>43</v>
      </c>
      <c r="C10" s="45" t="s">
        <v>92</v>
      </c>
      <c r="D10" s="8"/>
      <c r="E10" s="8"/>
      <c r="F10" s="8"/>
      <c r="G10" s="8"/>
      <c r="H10" s="8"/>
      <c r="I10" s="8"/>
      <c r="J10" s="8"/>
      <c r="K10" s="22"/>
      <c r="L10" s="22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3"/>
      <c r="AE10" s="13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3"/>
      <c r="BG10" s="13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</row>
    <row r="11" spans="1:73" ht="12.75" hidden="1" customHeight="1" x14ac:dyDescent="0.25">
      <c r="A11" s="6" t="str">
        <f t="shared" si="0"/>
        <v>1.3</v>
      </c>
      <c r="B11" s="7" t="s">
        <v>26</v>
      </c>
      <c r="C11" s="45" t="s">
        <v>92</v>
      </c>
      <c r="D11" s="8"/>
      <c r="E11" s="8"/>
      <c r="F11" s="8"/>
      <c r="G11" s="8"/>
      <c r="H11" s="8"/>
      <c r="I11" s="8"/>
      <c r="J11" s="8"/>
      <c r="K11" s="22"/>
      <c r="L11" s="22"/>
      <c r="M11" s="2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3"/>
      <c r="AE11" s="13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13"/>
      <c r="BG11" s="13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</row>
    <row r="12" spans="1:73" ht="12.75" hidden="1" customHeight="1" x14ac:dyDescent="0.25">
      <c r="A12" s="6" t="str">
        <f t="shared" si="0"/>
        <v>1.4</v>
      </c>
      <c r="B12" s="7" t="s">
        <v>27</v>
      </c>
      <c r="C12" s="45" t="s">
        <v>92</v>
      </c>
      <c r="D12" s="8"/>
      <c r="E12" s="8"/>
      <c r="F12" s="8"/>
      <c r="G12" s="8"/>
      <c r="H12" s="8"/>
      <c r="I12" s="8"/>
      <c r="J12" s="8"/>
      <c r="K12" s="22"/>
      <c r="L12" s="22"/>
      <c r="M12" s="22"/>
      <c r="N12" s="22"/>
      <c r="O12" s="22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3"/>
      <c r="AE12" s="13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13"/>
      <c r="BG12" s="13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</row>
    <row r="13" spans="1:73" ht="12.75" hidden="1" customHeight="1" x14ac:dyDescent="0.25">
      <c r="A13" s="6" t="str">
        <f t="shared" si="0"/>
        <v>1.5</v>
      </c>
      <c r="B13" s="7" t="s">
        <v>28</v>
      </c>
      <c r="C13" s="45" t="s">
        <v>92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22"/>
      <c r="Q13" s="22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3"/>
      <c r="AE13" s="13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13"/>
      <c r="BG13" s="13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</row>
    <row r="14" spans="1:73" ht="12.75" hidden="1" customHeight="1" x14ac:dyDescent="0.25">
      <c r="A14" s="6" t="str">
        <f t="shared" si="0"/>
        <v>1.6</v>
      </c>
      <c r="B14" s="7" t="s">
        <v>12</v>
      </c>
      <c r="C14" s="45" t="s">
        <v>92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23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3"/>
      <c r="AE14" s="13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13"/>
      <c r="BG14" s="13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</row>
    <row r="15" spans="1:73" x14ac:dyDescent="0.25">
      <c r="A15" s="3" t="str">
        <f>IF(ISERROR(VALUE(SUBSTITUTE(prevWBS,".",""))),"1",IF(ISERROR(FIND("`",SUBSTITUTE(prevWBS,".","`",1))),TEXT(VALUE(prevWBS)+1,"#"),TEXT(VALUE(LEFT(prevWBS,FIND("`",SUBSTITUTE(prevWBS,".","`",1))-1))+1,"#")))</f>
        <v>2</v>
      </c>
      <c r="B15" s="4" t="s">
        <v>32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13"/>
      <c r="AE15" s="13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13"/>
      <c r="BG15" s="13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</row>
    <row r="16" spans="1:73" ht="12.75" customHeight="1" x14ac:dyDescent="0.25">
      <c r="A16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2.1</v>
      </c>
      <c r="B16" s="7" t="s">
        <v>31</v>
      </c>
      <c r="C16" s="45" t="s">
        <v>92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22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3"/>
      <c r="AE16" s="13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13"/>
      <c r="BG16" s="13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</row>
    <row r="17" spans="1:73" ht="12.75" customHeight="1" x14ac:dyDescent="0.25">
      <c r="A17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2.1.1</v>
      </c>
      <c r="B17" s="9" t="s">
        <v>35</v>
      </c>
      <c r="C17" s="45" t="s">
        <v>92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22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3"/>
      <c r="AE17" s="13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13"/>
      <c r="BG17" s="13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spans="1:73" ht="12.75" customHeight="1" x14ac:dyDescent="0.25">
      <c r="A18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2.1.2</v>
      </c>
      <c r="B18" s="9" t="s">
        <v>34</v>
      </c>
      <c r="C18" s="45" t="s">
        <v>92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22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3"/>
      <c r="AE18" s="13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13"/>
      <c r="BG18" s="13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spans="1:73" ht="12.75" customHeight="1" x14ac:dyDescent="0.25">
      <c r="A19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2.1.3</v>
      </c>
      <c r="B19" s="9" t="s">
        <v>36</v>
      </c>
      <c r="C19" s="45" t="s">
        <v>92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22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3"/>
      <c r="AE19" s="13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13"/>
      <c r="BG19" s="13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spans="1:73" ht="12.75" customHeight="1" x14ac:dyDescent="0.25">
      <c r="A20" s="6" t="str">
        <f t="shared" ref="A20:A29" si="1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2.2</v>
      </c>
      <c r="B20" s="7" t="s">
        <v>37</v>
      </c>
      <c r="C20" s="45" t="s">
        <v>93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13"/>
      <c r="AE20" s="13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13"/>
      <c r="BG20" s="13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spans="1:73" ht="12.75" customHeight="1" x14ac:dyDescent="0.25">
      <c r="A21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2.2.1</v>
      </c>
      <c r="B21" s="9" t="s">
        <v>38</v>
      </c>
      <c r="C21" s="45" t="s">
        <v>93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13"/>
      <c r="AE21" s="13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13"/>
      <c r="BG21" s="13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spans="1:73" ht="12.75" customHeight="1" x14ac:dyDescent="0.25">
      <c r="A22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2.2.2</v>
      </c>
      <c r="B22" s="9" t="s">
        <v>111</v>
      </c>
      <c r="C22" s="45" t="s">
        <v>93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22"/>
      <c r="U22" s="22"/>
      <c r="V22" s="22"/>
      <c r="W22" s="8"/>
      <c r="X22" s="8"/>
      <c r="Y22" s="8"/>
      <c r="Z22" s="8"/>
      <c r="AA22" s="8"/>
      <c r="AB22" s="8"/>
      <c r="AC22" s="8"/>
      <c r="AD22" s="13"/>
      <c r="AE22" s="13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13"/>
      <c r="BG22" s="13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spans="1:73" ht="12.75" customHeight="1" x14ac:dyDescent="0.25">
      <c r="A23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2.2.3</v>
      </c>
      <c r="B23" s="9" t="s">
        <v>129</v>
      </c>
      <c r="C23" s="45" t="s">
        <v>92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22"/>
      <c r="U23" s="22"/>
      <c r="V23" s="22"/>
      <c r="W23" s="8"/>
      <c r="X23" s="8"/>
      <c r="Y23" s="8"/>
      <c r="Z23" s="8"/>
      <c r="AA23" s="8"/>
      <c r="AB23" s="8"/>
      <c r="AC23" s="8"/>
      <c r="AD23" s="13"/>
      <c r="AE23" s="13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13"/>
      <c r="BG23" s="13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spans="1:73" ht="12.75" customHeight="1" x14ac:dyDescent="0.25">
      <c r="A24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2.2.4</v>
      </c>
      <c r="B24" s="9" t="s">
        <v>130</v>
      </c>
      <c r="C24" s="45" t="s">
        <v>93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13"/>
      <c r="AE24" s="13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13"/>
      <c r="BG24" s="13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1:73" ht="12.75" customHeight="1" x14ac:dyDescent="0.25">
      <c r="A25" s="6" t="str">
        <f t="shared" si="1"/>
        <v>2.3</v>
      </c>
      <c r="B25" s="7" t="s">
        <v>39</v>
      </c>
      <c r="C25" s="45" t="s">
        <v>94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22"/>
      <c r="W25" s="22"/>
      <c r="X25" s="22"/>
      <c r="Y25" s="22"/>
      <c r="Z25" s="22"/>
      <c r="AA25" s="22"/>
      <c r="AB25" s="22"/>
      <c r="AC25" s="22"/>
      <c r="AD25" s="13"/>
      <c r="AE25" s="13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13"/>
      <c r="BG25" s="13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 ht="12.75" customHeight="1" x14ac:dyDescent="0.25">
      <c r="A26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2.3.1</v>
      </c>
      <c r="B26" s="9" t="s">
        <v>40</v>
      </c>
      <c r="C26" s="45" t="s">
        <v>94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22"/>
      <c r="W26" s="22"/>
      <c r="X26" s="22"/>
      <c r="Y26" s="8"/>
      <c r="Z26" s="8"/>
      <c r="AA26" s="8"/>
      <c r="AB26" s="8"/>
      <c r="AC26" s="8"/>
      <c r="AD26" s="13"/>
      <c r="AE26" s="13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13"/>
      <c r="BG26" s="13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1:73" ht="12.75" customHeight="1" x14ac:dyDescent="0.25">
      <c r="A27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2.3.2</v>
      </c>
      <c r="B27" s="9" t="s">
        <v>41</v>
      </c>
      <c r="C27" s="45" t="s">
        <v>94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22"/>
      <c r="Y27" s="22"/>
      <c r="Z27" s="22"/>
      <c r="AA27" s="8"/>
      <c r="AB27" s="8"/>
      <c r="AC27" s="8"/>
      <c r="AD27" s="13"/>
      <c r="AE27" s="13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13"/>
      <c r="BG27" s="13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 ht="12.75" customHeight="1" x14ac:dyDescent="0.25">
      <c r="A28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2.3.3</v>
      </c>
      <c r="B28" s="9" t="s">
        <v>42</v>
      </c>
      <c r="C28" s="45" t="s">
        <v>94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22"/>
      <c r="Y28" s="22"/>
      <c r="Z28" s="22"/>
      <c r="AA28" s="22"/>
      <c r="AB28" s="22"/>
      <c r="AC28" s="22"/>
      <c r="AD28" s="13"/>
      <c r="AE28" s="13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13"/>
      <c r="BG28" s="13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spans="1:73" ht="12.75" customHeight="1" x14ac:dyDescent="0.25">
      <c r="A29" s="6" t="str">
        <f t="shared" si="1"/>
        <v>2.4</v>
      </c>
      <c r="B29" s="7" t="s">
        <v>44</v>
      </c>
      <c r="C29" s="45" t="s">
        <v>94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13"/>
      <c r="AE29" s="13"/>
      <c r="AF29" s="22"/>
      <c r="AG29" s="22"/>
      <c r="AH29" s="22"/>
      <c r="AI29" s="22"/>
      <c r="AJ29" s="22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13"/>
      <c r="BG29" s="13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 ht="12.75" customHeight="1" x14ac:dyDescent="0.25">
      <c r="A30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2.4.1</v>
      </c>
      <c r="B30" s="9" t="s">
        <v>45</v>
      </c>
      <c r="C30" s="45" t="s">
        <v>94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3"/>
      <c r="AE30" s="13"/>
      <c r="AF30" s="22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13"/>
      <c r="BG30" s="13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 ht="12.75" customHeight="1" x14ac:dyDescent="0.25">
      <c r="A31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2.4.2</v>
      </c>
      <c r="B31" s="9" t="s">
        <v>46</v>
      </c>
      <c r="C31" s="45" t="s">
        <v>94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3"/>
      <c r="AE31" s="13"/>
      <c r="AF31" s="22"/>
      <c r="AG31" s="22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13"/>
      <c r="BG31" s="13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ht="12.75" customHeight="1" x14ac:dyDescent="0.25">
      <c r="A32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2.4.3</v>
      </c>
      <c r="B32" s="9" t="s">
        <v>47</v>
      </c>
      <c r="C32" s="45" t="s">
        <v>94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3"/>
      <c r="AE32" s="13"/>
      <c r="AF32" s="22"/>
      <c r="AG32" s="22"/>
      <c r="AH32" s="22"/>
      <c r="AI32" s="22"/>
      <c r="AJ32" s="22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13"/>
      <c r="BG32" s="13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 x14ac:dyDescent="0.25">
      <c r="A33" s="3" t="str">
        <f>IF(ISERROR(VALUE(SUBSTITUTE(prevWBS,".",""))),"1",IF(ISERROR(FIND("`",SUBSTITUTE(prevWBS,".","`",1))),TEXT(VALUE(prevWBS)+1,"#"),TEXT(VALUE(LEFT(prevWBS,FIND("`",SUBSTITUTE(prevWBS,".","`",1))-1))+1,"#")))</f>
        <v>3</v>
      </c>
      <c r="B33" s="4" t="s">
        <v>33</v>
      </c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13"/>
      <c r="AE33" s="13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13"/>
      <c r="BG33" s="13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spans="1:73" ht="12.75" customHeight="1" x14ac:dyDescent="0.25">
      <c r="A34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3.1</v>
      </c>
      <c r="B34" s="7" t="s">
        <v>57</v>
      </c>
      <c r="C34" s="45" t="s">
        <v>93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13"/>
      <c r="AE34" s="13"/>
      <c r="AF34" s="8"/>
      <c r="AG34" s="8"/>
      <c r="AH34" s="8"/>
      <c r="AI34" s="8"/>
      <c r="AJ34" s="22"/>
      <c r="AK34" s="22"/>
      <c r="AL34" s="22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13"/>
      <c r="BG34" s="13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spans="1:73" ht="12.75" customHeight="1" x14ac:dyDescent="0.25">
      <c r="A35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3.2</v>
      </c>
      <c r="B35" s="7" t="s">
        <v>58</v>
      </c>
      <c r="C35" s="45" t="s">
        <v>93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3"/>
      <c r="AE35" s="13"/>
      <c r="AF35" s="8"/>
      <c r="AG35" s="8"/>
      <c r="AH35" s="8"/>
      <c r="AI35" s="8"/>
      <c r="AJ35" s="8"/>
      <c r="AK35" s="8"/>
      <c r="AL35" s="23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13"/>
      <c r="BG35" s="13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spans="1:73" ht="12.75" customHeight="1" x14ac:dyDescent="0.25">
      <c r="A36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3.3</v>
      </c>
      <c r="B36" s="7" t="s">
        <v>48</v>
      </c>
      <c r="C36" s="45" t="s">
        <v>92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3"/>
      <c r="AE36" s="13"/>
      <c r="AF36" s="8"/>
      <c r="AG36" s="8"/>
      <c r="AH36" s="8"/>
      <c r="AI36" s="8"/>
      <c r="AJ36" s="8"/>
      <c r="AK36" s="8"/>
      <c r="AL36" s="8"/>
      <c r="AM36" s="22"/>
      <c r="AN36" s="22"/>
      <c r="AO36" s="22"/>
      <c r="AP36" s="22"/>
      <c r="AQ36" s="22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13"/>
      <c r="BG36" s="13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spans="1:73" ht="12.75" customHeight="1" x14ac:dyDescent="0.25">
      <c r="A37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3.4</v>
      </c>
      <c r="B37" s="7" t="s">
        <v>49</v>
      </c>
      <c r="C37" s="45" t="s">
        <v>92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3"/>
      <c r="AE37" s="13"/>
      <c r="AF37" s="8"/>
      <c r="AG37" s="8"/>
      <c r="AH37" s="8"/>
      <c r="AI37" s="8"/>
      <c r="AJ37" s="8"/>
      <c r="AK37" s="8"/>
      <c r="AL37" s="8"/>
      <c r="AM37" s="22"/>
      <c r="AN37" s="22"/>
      <c r="AO37" s="22"/>
      <c r="AP37" s="22"/>
      <c r="AQ37" s="22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13"/>
      <c r="BG37" s="13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ht="12.75" customHeight="1" x14ac:dyDescent="0.25">
      <c r="A38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3.5</v>
      </c>
      <c r="B38" s="7" t="s">
        <v>131</v>
      </c>
      <c r="C38" s="45" t="s">
        <v>93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3"/>
      <c r="AE38" s="13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13"/>
      <c r="BG38" s="13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spans="1:73" ht="12.75" customHeight="1" x14ac:dyDescent="0.25">
      <c r="A39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3.5.1</v>
      </c>
      <c r="B39" s="9" t="s">
        <v>50</v>
      </c>
      <c r="C39" s="45" t="s">
        <v>93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3"/>
      <c r="AE39" s="13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22"/>
      <c r="AS39" s="22"/>
      <c r="AT39" s="22"/>
      <c r="AU39" s="22"/>
      <c r="AV39" s="22"/>
      <c r="AW39" s="22"/>
      <c r="AX39" s="8"/>
      <c r="AY39" s="8"/>
      <c r="AZ39" s="8"/>
      <c r="BA39" s="8"/>
      <c r="BB39" s="8"/>
      <c r="BC39" s="8"/>
      <c r="BD39" s="8"/>
      <c r="BE39" s="8"/>
      <c r="BF39" s="13"/>
      <c r="BG39" s="13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spans="1:73" ht="12.75" customHeight="1" x14ac:dyDescent="0.25">
      <c r="A40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3.5.2</v>
      </c>
      <c r="B40" s="9" t="s">
        <v>51</v>
      </c>
      <c r="C40" s="45" t="s">
        <v>94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3"/>
      <c r="AE40" s="13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22"/>
      <c r="AX40" s="22"/>
      <c r="AY40" s="22"/>
      <c r="AZ40" s="22"/>
      <c r="BA40" s="22"/>
      <c r="BB40" s="8"/>
      <c r="BC40" s="8"/>
      <c r="BD40" s="8"/>
      <c r="BE40" s="8"/>
      <c r="BF40" s="13"/>
      <c r="BG40" s="13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spans="1:73" ht="12.75" customHeight="1" x14ac:dyDescent="0.25">
      <c r="A41" s="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3.5.3</v>
      </c>
      <c r="B41" s="9" t="s">
        <v>52</v>
      </c>
      <c r="C41" s="45" t="s">
        <v>94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3"/>
      <c r="AE41" s="13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22"/>
      <c r="BB41" s="22"/>
      <c r="BC41" s="22"/>
      <c r="BD41" s="22"/>
      <c r="BE41" s="22"/>
      <c r="BF41" s="13"/>
      <c r="BG41" s="13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spans="1:73" ht="12.75" customHeight="1" x14ac:dyDescent="0.25">
      <c r="A42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3.6</v>
      </c>
      <c r="B42" s="7" t="s">
        <v>53</v>
      </c>
      <c r="C42" s="45" t="s">
        <v>94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3"/>
      <c r="AE42" s="13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13"/>
      <c r="BG42" s="13"/>
      <c r="BH42" s="22"/>
      <c r="BI42" s="22"/>
      <c r="BJ42" s="22"/>
      <c r="BK42" s="22"/>
      <c r="BL42" s="22"/>
      <c r="BM42" s="8"/>
      <c r="BN42" s="8"/>
      <c r="BO42" s="8"/>
      <c r="BP42" s="8"/>
      <c r="BQ42" s="8"/>
      <c r="BR42" s="8"/>
      <c r="BS42" s="8"/>
      <c r="BT42" s="8"/>
      <c r="BU42" s="8"/>
    </row>
    <row r="43" spans="1:73" x14ac:dyDescent="0.25">
      <c r="A43" s="3" t="str">
        <f>IF(ISERROR(VALUE(SUBSTITUTE(prevWBS,".",""))),"1",IF(ISERROR(FIND("`",SUBSTITUTE(prevWBS,".","`",1))),TEXT(VALUE(prevWBS)+1,"#"),TEXT(VALUE(LEFT(prevWBS,FIND("`",SUBSTITUTE(prevWBS,".","`",1))-1))+1,"#")))</f>
        <v>4</v>
      </c>
      <c r="B43" s="4" t="s">
        <v>30</v>
      </c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13"/>
      <c r="AE43" s="13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13"/>
      <c r="BG43" s="13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</row>
    <row r="44" spans="1:73" ht="12.75" customHeight="1" x14ac:dyDescent="0.25">
      <c r="A44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4.1</v>
      </c>
      <c r="B44" s="7" t="s">
        <v>97</v>
      </c>
      <c r="C44" s="45" t="s">
        <v>94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3"/>
      <c r="AE44" s="13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13"/>
      <c r="BG44" s="13"/>
      <c r="BH44" s="8"/>
      <c r="BI44" s="8"/>
      <c r="BJ44" s="8"/>
      <c r="BK44" s="8"/>
      <c r="BL44" s="8"/>
      <c r="BM44" s="22"/>
      <c r="BN44" s="22"/>
      <c r="BO44" s="22"/>
      <c r="BP44" s="22"/>
      <c r="BQ44" s="8"/>
      <c r="BR44" s="8"/>
      <c r="BS44" s="8"/>
      <c r="BT44" s="8"/>
      <c r="BU44" s="8"/>
    </row>
    <row r="45" spans="1:73" ht="12.75" customHeight="1" x14ac:dyDescent="0.25">
      <c r="A45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4.2</v>
      </c>
      <c r="B45" s="7" t="s">
        <v>98</v>
      </c>
      <c r="C45" s="45" t="s">
        <v>94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13"/>
      <c r="AE45" s="13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13"/>
      <c r="BG45" s="13"/>
      <c r="BH45" s="8"/>
      <c r="BI45" s="8"/>
      <c r="BJ45" s="8"/>
      <c r="BK45" s="8"/>
      <c r="BL45" s="8"/>
      <c r="BM45" s="8"/>
      <c r="BN45" s="8"/>
      <c r="BO45" s="22"/>
      <c r="BP45" s="22"/>
      <c r="BQ45" s="22"/>
      <c r="BR45" s="8"/>
      <c r="BS45" s="8"/>
      <c r="BT45" s="8"/>
      <c r="BU45" s="8"/>
    </row>
    <row r="46" spans="1:73" ht="12.75" customHeight="1" x14ac:dyDescent="0.25">
      <c r="A46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4.3</v>
      </c>
      <c r="B46" s="7" t="s">
        <v>99</v>
      </c>
      <c r="C46" s="45" t="s">
        <v>94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3"/>
      <c r="AE46" s="13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13"/>
      <c r="BG46" s="13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23"/>
      <c r="BT46" s="8"/>
      <c r="BU46" s="8"/>
    </row>
    <row r="47" spans="1:73" ht="12.75" customHeight="1" x14ac:dyDescent="0.25">
      <c r="A47" s="6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4.4</v>
      </c>
      <c r="B47" s="7" t="s">
        <v>83</v>
      </c>
      <c r="C47" s="45" t="s">
        <v>94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13"/>
      <c r="AE47" s="13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13"/>
      <c r="BG47" s="13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55" spans="1:3" x14ac:dyDescent="0.25">
      <c r="A55" s="10"/>
      <c r="B55" s="11"/>
      <c r="C55" s="11"/>
    </row>
  </sheetData>
  <mergeCells count="10">
    <mergeCell ref="AT1:AZ1"/>
    <mergeCell ref="BA1:BG1"/>
    <mergeCell ref="BH1:BN1"/>
    <mergeCell ref="BO1:BU1"/>
    <mergeCell ref="D1:J1"/>
    <mergeCell ref="K1:Q1"/>
    <mergeCell ref="R1:X1"/>
    <mergeCell ref="Y1:AE1"/>
    <mergeCell ref="AF1:AL1"/>
    <mergeCell ref="AM1:AS1"/>
  </mergeCells>
  <phoneticPr fontId="5" type="noConversion"/>
  <conditionalFormatting sqref="C1:C1048576">
    <cfRule type="cellIs" dxfId="2" priority="1" operator="equal">
      <formula>"Pending"</formula>
    </cfRule>
    <cfRule type="cellIs" dxfId="1" priority="2" operator="equal">
      <formula>"In Progress"</formula>
    </cfRule>
    <cfRule type="cellIs" dxfId="0" priority="3" operator="equal">
      <formula>"Concluded"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02A677-0897-4962-BC80-B521933FB62F}">
          <x14:formula1>
            <xm:f>Sheet7!$A$2:$A$4</xm:f>
          </x14:formula1>
          <xm:sqref>C5:C14 C44:C47 C34:C42 C16:C32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32A0-DF1B-4768-9109-C38596A8BCAA}">
  <dimension ref="B2:F14"/>
  <sheetViews>
    <sheetView workbookViewId="0">
      <selection activeCell="B2" sqref="B2:F14"/>
    </sheetView>
  </sheetViews>
  <sheetFormatPr defaultRowHeight="15" x14ac:dyDescent="0.25"/>
  <cols>
    <col min="1" max="1" width="2.85546875" style="52" customWidth="1"/>
    <col min="2" max="2" width="2.7109375" style="52" bestFit="1" customWidth="1"/>
    <col min="3" max="3" width="28.5703125" style="52" customWidth="1"/>
    <col min="4" max="4" width="2.85546875" style="52" customWidth="1"/>
    <col min="5" max="5" width="1.85546875" style="52" bestFit="1" customWidth="1"/>
    <col min="6" max="6" width="29.85546875" style="52" customWidth="1"/>
    <col min="7" max="7" width="2.85546875" style="52" customWidth="1"/>
    <col min="8" max="8" width="2.7109375" style="52" bestFit="1" customWidth="1"/>
    <col min="9" max="9" width="28.5703125" style="52" customWidth="1"/>
    <col min="10" max="10" width="2.85546875" style="52" customWidth="1"/>
    <col min="11" max="11" width="1.85546875" style="52" bestFit="1" customWidth="1"/>
    <col min="12" max="12" width="28.5703125" style="52" customWidth="1"/>
    <col min="13" max="16384" width="9.140625" style="52"/>
  </cols>
  <sheetData>
    <row r="2" spans="2:6" x14ac:dyDescent="0.25">
      <c r="B2" s="56"/>
      <c r="C2" s="55" t="s">
        <v>113</v>
      </c>
      <c r="E2" s="56"/>
      <c r="F2" s="55" t="s">
        <v>114</v>
      </c>
    </row>
    <row r="3" spans="2:6" x14ac:dyDescent="0.25">
      <c r="B3" s="53">
        <v>1</v>
      </c>
      <c r="C3" s="54" t="s">
        <v>116</v>
      </c>
      <c r="E3" s="53">
        <v>1</v>
      </c>
      <c r="F3" s="54" t="s">
        <v>122</v>
      </c>
    </row>
    <row r="4" spans="2:6" x14ac:dyDescent="0.25">
      <c r="B4" s="53">
        <v>2</v>
      </c>
      <c r="C4" s="54" t="s">
        <v>117</v>
      </c>
      <c r="E4" s="53">
        <v>2</v>
      </c>
      <c r="F4" s="54" t="s">
        <v>123</v>
      </c>
    </row>
    <row r="5" spans="2:6" x14ac:dyDescent="0.25">
      <c r="B5" s="53">
        <v>3</v>
      </c>
      <c r="C5" s="54" t="s">
        <v>118</v>
      </c>
      <c r="E5" s="53">
        <v>3</v>
      </c>
      <c r="F5" s="54" t="s">
        <v>126</v>
      </c>
    </row>
    <row r="6" spans="2:6" x14ac:dyDescent="0.25">
      <c r="B6" s="53">
        <v>4</v>
      </c>
      <c r="C6" s="54" t="s">
        <v>125</v>
      </c>
      <c r="E6" s="53">
        <v>4</v>
      </c>
      <c r="F6" s="54" t="s">
        <v>128</v>
      </c>
    </row>
    <row r="7" spans="2:6" x14ac:dyDescent="0.25">
      <c r="B7" s="53">
        <v>5</v>
      </c>
      <c r="C7" s="54"/>
      <c r="E7" s="53">
        <v>5</v>
      </c>
      <c r="F7" s="54"/>
    </row>
    <row r="9" spans="2:6" x14ac:dyDescent="0.25">
      <c r="B9" s="56"/>
      <c r="C9" s="55" t="s">
        <v>115</v>
      </c>
      <c r="E9" s="56"/>
      <c r="F9" s="55" t="s">
        <v>124</v>
      </c>
    </row>
    <row r="10" spans="2:6" x14ac:dyDescent="0.25">
      <c r="B10" s="53">
        <v>1</v>
      </c>
      <c r="C10" s="54" t="s">
        <v>120</v>
      </c>
      <c r="E10" s="53">
        <v>1</v>
      </c>
      <c r="F10" s="54" t="s">
        <v>55</v>
      </c>
    </row>
    <row r="11" spans="2:6" x14ac:dyDescent="0.25">
      <c r="B11" s="53">
        <v>2</v>
      </c>
      <c r="C11" s="54" t="s">
        <v>121</v>
      </c>
      <c r="E11" s="53">
        <v>2</v>
      </c>
      <c r="F11" s="54" t="s">
        <v>56</v>
      </c>
    </row>
    <row r="12" spans="2:6" x14ac:dyDescent="0.25">
      <c r="B12" s="53">
        <v>3</v>
      </c>
      <c r="C12" s="54" t="s">
        <v>119</v>
      </c>
      <c r="E12" s="53">
        <v>3</v>
      </c>
      <c r="F12" s="54" t="s">
        <v>54</v>
      </c>
    </row>
    <row r="13" spans="2:6" x14ac:dyDescent="0.25">
      <c r="B13" s="53">
        <v>4</v>
      </c>
      <c r="C13" s="54" t="s">
        <v>127</v>
      </c>
      <c r="E13" s="53">
        <v>4</v>
      </c>
      <c r="F13" s="54" t="s">
        <v>102</v>
      </c>
    </row>
    <row r="14" spans="2:6" ht="22.5" x14ac:dyDescent="0.25">
      <c r="B14" s="53">
        <v>5</v>
      </c>
      <c r="C14" s="54"/>
      <c r="E14" s="53">
        <v>5</v>
      </c>
      <c r="F14" s="54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2609-69D3-4B05-B7D4-A7702DF77DB6}">
  <dimension ref="A1:A4"/>
  <sheetViews>
    <sheetView workbookViewId="0">
      <selection activeCell="G9" sqref="G9"/>
    </sheetView>
  </sheetViews>
  <sheetFormatPr defaultRowHeight="15" x14ac:dyDescent="0.25"/>
  <cols>
    <col min="1" max="1" width="9.28515625" style="44" customWidth="1"/>
  </cols>
  <sheetData>
    <row r="1" spans="1:1" x14ac:dyDescent="0.25">
      <c r="A1" s="41" t="s">
        <v>95</v>
      </c>
    </row>
    <row r="2" spans="1:1" x14ac:dyDescent="0.25">
      <c r="A2" s="41" t="s">
        <v>92</v>
      </c>
    </row>
    <row r="3" spans="1:1" x14ac:dyDescent="0.25">
      <c r="A3" s="43" t="s">
        <v>93</v>
      </c>
    </row>
    <row r="4" spans="1:1" x14ac:dyDescent="0.25">
      <c r="A4" s="42" t="s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SWOT</vt:lpstr>
      <vt:lpstr>InOut_Scope</vt:lpstr>
      <vt:lpstr>Risk_Priorities</vt:lpstr>
      <vt:lpstr>GrantChart_(Schedule)</vt:lpstr>
      <vt:lpstr>MoSCoW</vt:lpstr>
      <vt:lpstr>Sheet7</vt:lpstr>
      <vt:lpstr>'GrantChart_(Schedule)'!prevWBS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Arpi</dc:creator>
  <cp:lastModifiedBy>Guilherme Arpi</cp:lastModifiedBy>
  <dcterms:created xsi:type="dcterms:W3CDTF">2021-06-03T20:39:25Z</dcterms:created>
  <dcterms:modified xsi:type="dcterms:W3CDTF">2021-06-28T18:39:54Z</dcterms:modified>
</cp:coreProperties>
</file>